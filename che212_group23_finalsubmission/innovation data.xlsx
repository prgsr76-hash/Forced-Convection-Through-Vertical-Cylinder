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f891457ef6f32/Desktop/"/>
    </mc:Choice>
  </mc:AlternateContent>
  <xr:revisionPtr revIDLastSave="803" documentId="8_{6B24ED60-6E79-4C12-B7ED-31C3E74C3789}" xr6:coauthVersionLast="47" xr6:coauthVersionMax="47" xr10:uidLastSave="{277728B7-9700-4076-907C-02A02E9D5BDD}"/>
  <bookViews>
    <workbookView xWindow="-96" yWindow="0" windowWidth="11712" windowHeight="13056" xr2:uid="{CDACD618-B9D4-421E-98E0-4CFFC00C9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6" i="1" l="1"/>
  <c r="AI15" i="1"/>
  <c r="AI3" i="1"/>
  <c r="AI4" i="1"/>
  <c r="AI5" i="1"/>
  <c r="AI6" i="1"/>
  <c r="AI7" i="1"/>
  <c r="AI8" i="1"/>
  <c r="AI9" i="1"/>
  <c r="AI10" i="1"/>
  <c r="AI16" i="1"/>
  <c r="AI17" i="1"/>
  <c r="AI18" i="1"/>
  <c r="AI19" i="1"/>
  <c r="AI20" i="1"/>
  <c r="AI21" i="1"/>
  <c r="AI22" i="1"/>
  <c r="AQ14" i="1"/>
  <c r="AI27" i="1"/>
  <c r="AI28" i="1"/>
  <c r="AI29" i="1"/>
  <c r="AI30" i="1"/>
  <c r="AI31" i="1"/>
  <c r="AI32" i="1"/>
  <c r="AI33" i="1"/>
  <c r="AQ25" i="1"/>
  <c r="AQ4" i="1"/>
  <c r="AQ5" i="1"/>
  <c r="AQ6" i="1"/>
  <c r="AQ7" i="1"/>
  <c r="AQ8" i="1"/>
  <c r="AQ9" i="1"/>
  <c r="AQ10" i="1"/>
  <c r="AQ24" i="1"/>
  <c r="AQ26" i="1"/>
  <c r="AQ27" i="1"/>
  <c r="AQ28" i="1"/>
  <c r="AQ29" i="1"/>
  <c r="AQ30" i="1"/>
  <c r="AQ3" i="1"/>
  <c r="AQ23" i="1"/>
  <c r="AQ15" i="1"/>
  <c r="AQ16" i="1"/>
  <c r="AQ17" i="1"/>
  <c r="AQ18" i="1"/>
  <c r="AQ19" i="1"/>
  <c r="AQ20" i="1"/>
  <c r="AQ13" i="1"/>
  <c r="AB13" i="1"/>
  <c r="AB12" i="1"/>
  <c r="AB11" i="1"/>
  <c r="F22" i="1"/>
  <c r="F23" i="1"/>
  <c r="F24" i="1"/>
  <c r="F25" i="1"/>
  <c r="F26" i="1"/>
  <c r="F27" i="1"/>
  <c r="F28" i="1"/>
  <c r="F21" i="1"/>
  <c r="F19" i="1"/>
  <c r="U33" i="1"/>
  <c r="U22" i="1"/>
  <c r="AB4" i="1"/>
  <c r="AB5" i="1"/>
  <c r="AB6" i="1"/>
  <c r="AB7" i="1"/>
  <c r="AB8" i="1"/>
  <c r="AB9" i="1"/>
  <c r="AB10" i="1"/>
  <c r="AB3" i="1"/>
  <c r="F13" i="1"/>
  <c r="F14" i="1"/>
  <c r="F15" i="1"/>
  <c r="F16" i="1"/>
  <c r="F17" i="1"/>
  <c r="F18" i="1"/>
  <c r="F12" i="1"/>
  <c r="U20" i="1"/>
  <c r="U27" i="1"/>
  <c r="U28" i="1"/>
  <c r="U29" i="1"/>
  <c r="U30" i="1"/>
  <c r="U31" i="1"/>
  <c r="U32" i="1"/>
  <c r="U26" i="1"/>
  <c r="U16" i="1"/>
  <c r="U17" i="1"/>
  <c r="U18" i="1"/>
  <c r="U19" i="1"/>
  <c r="U21" i="1"/>
  <c r="U15" i="1"/>
  <c r="N20" i="1"/>
  <c r="N21" i="1"/>
  <c r="N22" i="1"/>
  <c r="N23" i="1"/>
  <c r="N24" i="1"/>
  <c r="N25" i="1"/>
  <c r="N19" i="1"/>
  <c r="N12" i="1"/>
  <c r="N13" i="1"/>
  <c r="N14" i="1"/>
  <c r="N15" i="1"/>
  <c r="N16" i="1"/>
  <c r="N17" i="1"/>
  <c r="N11" i="1"/>
  <c r="U4" i="1"/>
  <c r="U5" i="1"/>
  <c r="U6" i="1"/>
  <c r="U7" i="1"/>
  <c r="U8" i="1"/>
  <c r="U9" i="1"/>
  <c r="U10" i="1"/>
  <c r="U11" i="1"/>
  <c r="U3" i="1"/>
  <c r="N4" i="1"/>
  <c r="N5" i="1"/>
  <c r="N6" i="1"/>
  <c r="N7" i="1"/>
  <c r="N8" i="1"/>
  <c r="N9" i="1"/>
  <c r="N3" i="1"/>
  <c r="F3" i="1"/>
  <c r="F4" i="1"/>
  <c r="F5" i="1"/>
  <c r="F6" i="1"/>
  <c r="F7" i="1"/>
  <c r="F8" i="1"/>
  <c r="F10" i="1"/>
  <c r="F9" i="1"/>
</calcChain>
</file>

<file path=xl/sharedStrings.xml><?xml version="1.0" encoding="utf-8"?>
<sst xmlns="http://schemas.openxmlformats.org/spreadsheetml/2006/main" count="79" uniqueCount="22">
  <si>
    <t xml:space="preserve">TIME </t>
  </si>
  <si>
    <t>T1</t>
  </si>
  <si>
    <t>T2</t>
  </si>
  <si>
    <t>T3</t>
  </si>
  <si>
    <t>T4</t>
  </si>
  <si>
    <t>Tavg</t>
  </si>
  <si>
    <t>top  v = min</t>
  </si>
  <si>
    <t>v = mid</t>
  </si>
  <si>
    <t xml:space="preserve">v= high </t>
  </si>
  <si>
    <t xml:space="preserve">sideways v= min </t>
  </si>
  <si>
    <t>v = midium</t>
  </si>
  <si>
    <t>v= high</t>
  </si>
  <si>
    <t>bottom v = min</t>
  </si>
  <si>
    <t>v = medium</t>
  </si>
  <si>
    <t>natural convection</t>
  </si>
  <si>
    <t>T5</t>
  </si>
  <si>
    <t>bottom modify  v = min</t>
  </si>
  <si>
    <t>bottom modify  v = mid</t>
  </si>
  <si>
    <t>bottom modify  v = max</t>
  </si>
  <si>
    <t>top modify  v = min</t>
  </si>
  <si>
    <t>top modify v = mid</t>
  </si>
  <si>
    <t>top modify v =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</si>
</sst>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5CC3-2938-4A5F-BA3A-A7051ABC70E7}">
  <dimension ref="A1:AQ33"/>
  <sheetViews>
    <sheetView tabSelected="1" topLeftCell="AK1" zoomScale="80" workbookViewId="0">
      <selection activeCell="AU12" sqref="AU12"/>
    </sheetView>
  </sheetViews>
  <sheetFormatPr defaultRowHeight="14.4" x14ac:dyDescent="0.3"/>
  <sheetData>
    <row r="1" spans="1:43" x14ac:dyDescent="0.3">
      <c r="A1" s="4" t="s">
        <v>6</v>
      </c>
      <c r="B1" s="4"/>
      <c r="C1" s="4"/>
      <c r="D1" s="4"/>
      <c r="E1" s="4"/>
      <c r="F1" s="4"/>
      <c r="I1" s="4" t="s">
        <v>9</v>
      </c>
      <c r="J1" s="4"/>
      <c r="K1" s="4"/>
      <c r="L1" s="4"/>
      <c r="M1" s="4"/>
      <c r="N1" s="4"/>
      <c r="P1" s="4" t="s">
        <v>12</v>
      </c>
      <c r="Q1" s="4"/>
      <c r="R1" s="4"/>
      <c r="S1" s="4"/>
      <c r="T1" s="4"/>
      <c r="U1" s="4"/>
      <c r="W1" s="2"/>
      <c r="X1" s="4" t="s">
        <v>14</v>
      </c>
      <c r="Y1" s="4"/>
      <c r="Z1" s="4"/>
      <c r="AA1" s="4"/>
      <c r="AB1" s="4"/>
      <c r="AD1" s="4" t="s">
        <v>21</v>
      </c>
      <c r="AE1" s="4"/>
      <c r="AF1" s="4"/>
      <c r="AG1" s="4"/>
      <c r="AH1" s="4"/>
      <c r="AI1" s="4"/>
      <c r="AK1" s="4" t="s">
        <v>16</v>
      </c>
      <c r="AL1" s="4"/>
      <c r="AM1" s="4"/>
      <c r="AN1" s="4"/>
      <c r="AO1" s="4"/>
      <c r="AP1" s="4"/>
      <c r="AQ1" s="4"/>
    </row>
    <row r="2" spans="1:43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W2" s="2" t="s">
        <v>0</v>
      </c>
      <c r="X2" s="2" t="s">
        <v>1</v>
      </c>
      <c r="Y2" s="2" t="s">
        <v>2</v>
      </c>
      <c r="Z2" s="2" t="s">
        <v>3</v>
      </c>
      <c r="AA2" s="2" t="s">
        <v>4</v>
      </c>
      <c r="AB2" s="2" t="s">
        <v>5</v>
      </c>
      <c r="AD2" s="2" t="s">
        <v>0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K2" s="2" t="s">
        <v>0</v>
      </c>
      <c r="AL2" s="2" t="s">
        <v>1</v>
      </c>
      <c r="AM2" s="2" t="s">
        <v>2</v>
      </c>
      <c r="AN2" s="2" t="s">
        <v>3</v>
      </c>
      <c r="AO2" s="2" t="s">
        <v>4</v>
      </c>
      <c r="AP2" s="2" t="s">
        <v>15</v>
      </c>
      <c r="AQ2" s="8" t="s">
        <v>5</v>
      </c>
    </row>
    <row r="3" spans="1:43" x14ac:dyDescent="0.3">
      <c r="A3" s="2">
        <v>0</v>
      </c>
      <c r="B3" s="2">
        <v>29</v>
      </c>
      <c r="C3" s="2">
        <v>29.3</v>
      </c>
      <c r="D3" s="2">
        <v>29.3</v>
      </c>
      <c r="E3" s="2">
        <v>29.2</v>
      </c>
      <c r="F3" s="2">
        <f>+AVERAGE(C3:E3)</f>
        <v>29.266666666666666</v>
      </c>
      <c r="I3" s="2">
        <v>0</v>
      </c>
      <c r="J3" s="2">
        <v>30.8</v>
      </c>
      <c r="K3" s="2">
        <v>31.6</v>
      </c>
      <c r="L3" s="2">
        <v>31.8</v>
      </c>
      <c r="M3" s="2">
        <v>31.5</v>
      </c>
      <c r="N3" s="2">
        <f>+AVERAGE(K3:M3)</f>
        <v>31.633333333333336</v>
      </c>
      <c r="P3" s="2">
        <v>0</v>
      </c>
      <c r="Q3" s="2">
        <v>27.9</v>
      </c>
      <c r="R3" s="2">
        <v>27.9</v>
      </c>
      <c r="S3" s="2">
        <v>28.3</v>
      </c>
      <c r="T3" s="2">
        <v>28.2</v>
      </c>
      <c r="U3" s="2">
        <f>+AVERAGE(R3:T3)</f>
        <v>28.133333333333336</v>
      </c>
      <c r="W3" s="2">
        <v>0</v>
      </c>
      <c r="X3" s="2">
        <v>24.7</v>
      </c>
      <c r="Y3" s="2">
        <v>27</v>
      </c>
      <c r="Z3" s="2">
        <v>27.8</v>
      </c>
      <c r="AA3" s="2">
        <v>26.7</v>
      </c>
      <c r="AB3" s="2">
        <f>AVERAGE(Y3:AA3)</f>
        <v>27.166666666666668</v>
      </c>
      <c r="AD3" s="2">
        <v>0</v>
      </c>
      <c r="AE3" s="2">
        <v>30.2</v>
      </c>
      <c r="AF3" s="2">
        <v>32.799999999999997</v>
      </c>
      <c r="AG3" s="2">
        <v>33</v>
      </c>
      <c r="AH3" s="2">
        <v>32.700000000000003</v>
      </c>
      <c r="AI3" s="2">
        <f>AVERAGE(AF3:AH3)</f>
        <v>32.833333333333336</v>
      </c>
      <c r="AK3" s="2">
        <v>0</v>
      </c>
      <c r="AL3" s="2">
        <v>30.2</v>
      </c>
      <c r="AM3" s="2">
        <v>33.1</v>
      </c>
      <c r="AN3" s="2">
        <v>32.9</v>
      </c>
      <c r="AO3" s="2">
        <v>33.1</v>
      </c>
      <c r="AP3" s="2">
        <v>33.700000000000003</v>
      </c>
      <c r="AQ3" s="2">
        <f>AVERAGE(AM3:AP3)</f>
        <v>33.200000000000003</v>
      </c>
    </row>
    <row r="4" spans="1:43" x14ac:dyDescent="0.3">
      <c r="A4" s="2">
        <v>5</v>
      </c>
      <c r="B4" s="2">
        <v>29.1</v>
      </c>
      <c r="C4" s="2">
        <v>33.799999999999997</v>
      </c>
      <c r="D4" s="2">
        <v>33.700000000000003</v>
      </c>
      <c r="E4" s="2">
        <v>32.9</v>
      </c>
      <c r="F4" s="2">
        <f t="shared" ref="F4:F8" si="0">+AVERAGE(C4:E4)</f>
        <v>33.466666666666669</v>
      </c>
      <c r="I4" s="2">
        <v>5</v>
      </c>
      <c r="J4" s="2">
        <v>30.9</v>
      </c>
      <c r="K4" s="2">
        <v>36.1</v>
      </c>
      <c r="L4" s="2">
        <v>35.200000000000003</v>
      </c>
      <c r="M4" s="2">
        <v>34.799999999999997</v>
      </c>
      <c r="N4" s="2">
        <f t="shared" ref="N4:N9" si="1">+AVERAGE(K4:M4)</f>
        <v>35.366666666666667</v>
      </c>
      <c r="P4" s="2">
        <v>5</v>
      </c>
      <c r="Q4" s="2">
        <v>28.3</v>
      </c>
      <c r="R4" s="2">
        <v>34.5</v>
      </c>
      <c r="S4" s="2">
        <v>33.799999999999997</v>
      </c>
      <c r="T4" s="2">
        <v>32.799999999999997</v>
      </c>
      <c r="U4" s="2">
        <f t="shared" ref="U4:U9" si="2">+AVERAGE(R4:T4)</f>
        <v>33.699999999999996</v>
      </c>
      <c r="W4" s="2">
        <v>5</v>
      </c>
      <c r="X4" s="2">
        <v>24.8</v>
      </c>
      <c r="Y4" s="2">
        <v>39.6</v>
      </c>
      <c r="Z4" s="2">
        <v>38.700000000000003</v>
      </c>
      <c r="AA4" s="2">
        <v>36.1</v>
      </c>
      <c r="AB4" s="2">
        <f t="shared" ref="AB4:AB13" si="3">AVERAGE(Y4:AA4)</f>
        <v>38.133333333333333</v>
      </c>
      <c r="AD4" s="2">
        <v>5</v>
      </c>
      <c r="AE4" s="2">
        <v>30.2</v>
      </c>
      <c r="AF4" s="2">
        <v>36.4</v>
      </c>
      <c r="AG4" s="2">
        <v>36.4</v>
      </c>
      <c r="AH4" s="2">
        <v>36.200000000000003</v>
      </c>
      <c r="AI4" s="2">
        <f>AVERAGE(AF4:AH4)</f>
        <v>36.333333333333336</v>
      </c>
      <c r="AK4" s="2">
        <v>5</v>
      </c>
      <c r="AL4" s="2">
        <v>30.1</v>
      </c>
      <c r="AM4" s="2">
        <v>35.4</v>
      </c>
      <c r="AN4" s="2">
        <v>34.700000000000003</v>
      </c>
      <c r="AO4" s="2">
        <v>34.9</v>
      </c>
      <c r="AP4" s="2">
        <v>35.6</v>
      </c>
      <c r="AQ4" s="2">
        <f t="shared" ref="AQ4:AQ10" si="4">AVERAGE(AM4:AP4)</f>
        <v>35.15</v>
      </c>
    </row>
    <row r="5" spans="1:43" x14ac:dyDescent="0.3">
      <c r="A5" s="2">
        <v>10</v>
      </c>
      <c r="B5" s="2">
        <v>29.2</v>
      </c>
      <c r="C5" s="2">
        <v>37</v>
      </c>
      <c r="D5" s="2">
        <v>37</v>
      </c>
      <c r="E5" s="2">
        <v>36.200000000000003</v>
      </c>
      <c r="F5" s="2">
        <f t="shared" si="0"/>
        <v>36.733333333333334</v>
      </c>
      <c r="I5" s="2">
        <v>10</v>
      </c>
      <c r="J5" s="2">
        <v>31.1</v>
      </c>
      <c r="K5" s="2">
        <v>38.9</v>
      </c>
      <c r="L5" s="2">
        <v>37.4</v>
      </c>
      <c r="M5" s="2">
        <v>37</v>
      </c>
      <c r="N5" s="2">
        <f t="shared" si="1"/>
        <v>37.766666666666666</v>
      </c>
      <c r="P5" s="2">
        <v>10</v>
      </c>
      <c r="Q5" s="2">
        <v>28.6</v>
      </c>
      <c r="R5" s="2">
        <v>40.4</v>
      </c>
      <c r="S5" s="2">
        <v>38.4</v>
      </c>
      <c r="T5" s="2">
        <v>37.6</v>
      </c>
      <c r="U5" s="2">
        <f t="shared" si="2"/>
        <v>38.800000000000004</v>
      </c>
      <c r="W5" s="2">
        <v>10</v>
      </c>
      <c r="X5" s="2">
        <v>25</v>
      </c>
      <c r="Y5" s="2">
        <v>49</v>
      </c>
      <c r="Z5" s="2">
        <v>47.5</v>
      </c>
      <c r="AA5" s="2">
        <v>45.1</v>
      </c>
      <c r="AB5" s="2">
        <f t="shared" si="3"/>
        <v>47.199999999999996</v>
      </c>
      <c r="AD5" s="2">
        <v>10</v>
      </c>
      <c r="AE5" s="2">
        <v>30.2</v>
      </c>
      <c r="AF5" s="2">
        <v>36.799999999999997</v>
      </c>
      <c r="AG5" s="2">
        <v>38.5</v>
      </c>
      <c r="AH5" s="2">
        <v>38.5</v>
      </c>
      <c r="AI5" s="2">
        <f>AVERAGE(AF5:AH5)</f>
        <v>37.93333333333333</v>
      </c>
      <c r="AK5" s="2">
        <v>10</v>
      </c>
      <c r="AL5" s="2">
        <v>30.1</v>
      </c>
      <c r="AM5" s="2">
        <v>37.4</v>
      </c>
      <c r="AN5" s="2">
        <v>36.5</v>
      </c>
      <c r="AO5" s="2">
        <v>36.6</v>
      </c>
      <c r="AP5" s="2">
        <v>37.4</v>
      </c>
      <c r="AQ5" s="2">
        <f t="shared" si="4"/>
        <v>36.975000000000001</v>
      </c>
    </row>
    <row r="6" spans="1:43" x14ac:dyDescent="0.3">
      <c r="A6" s="2">
        <v>15</v>
      </c>
      <c r="B6" s="2">
        <v>29.3</v>
      </c>
      <c r="C6" s="2">
        <v>38.700000000000003</v>
      </c>
      <c r="D6" s="2">
        <v>38.9</v>
      </c>
      <c r="E6" s="2">
        <v>38</v>
      </c>
      <c r="F6" s="2">
        <f t="shared" si="0"/>
        <v>38.533333333333331</v>
      </c>
      <c r="I6" s="2">
        <v>15</v>
      </c>
      <c r="J6" s="2">
        <v>31.1</v>
      </c>
      <c r="K6" s="2">
        <v>39.9</v>
      </c>
      <c r="L6" s="2">
        <v>38.1</v>
      </c>
      <c r="M6" s="2">
        <v>37.799999999999997</v>
      </c>
      <c r="N6" s="2">
        <f t="shared" si="1"/>
        <v>38.6</v>
      </c>
      <c r="P6" s="2">
        <v>15</v>
      </c>
      <c r="Q6" s="2">
        <v>28.8</v>
      </c>
      <c r="R6" s="2">
        <v>44.2</v>
      </c>
      <c r="S6" s="2">
        <v>41.7</v>
      </c>
      <c r="T6" s="2">
        <v>41</v>
      </c>
      <c r="U6" s="2">
        <f t="shared" si="2"/>
        <v>42.300000000000004</v>
      </c>
      <c r="W6" s="2">
        <v>15</v>
      </c>
      <c r="X6" s="2">
        <v>25</v>
      </c>
      <c r="Y6" s="2">
        <v>56.2</v>
      </c>
      <c r="Z6" s="2">
        <v>56</v>
      </c>
      <c r="AA6" s="2">
        <v>52.6</v>
      </c>
      <c r="AB6" s="2">
        <f t="shared" si="3"/>
        <v>54.933333333333337</v>
      </c>
      <c r="AD6" s="2">
        <v>15</v>
      </c>
      <c r="AE6" s="2">
        <v>30.1</v>
      </c>
      <c r="AF6" s="2">
        <v>39.4</v>
      </c>
      <c r="AG6" s="2">
        <v>39.1</v>
      </c>
      <c r="AH6" s="2">
        <v>39.4</v>
      </c>
      <c r="AI6" s="2">
        <f>AVERAGE(AF6:AH6)</f>
        <v>39.300000000000004</v>
      </c>
      <c r="AK6" s="2">
        <v>15</v>
      </c>
      <c r="AL6" s="2">
        <v>30.2</v>
      </c>
      <c r="AM6" s="2">
        <v>39.1</v>
      </c>
      <c r="AN6" s="2">
        <v>37.6</v>
      </c>
      <c r="AO6" s="2">
        <v>37.700000000000003</v>
      </c>
      <c r="AP6" s="2">
        <v>38.6</v>
      </c>
      <c r="AQ6" s="2">
        <f t="shared" si="4"/>
        <v>38.25</v>
      </c>
    </row>
    <row r="7" spans="1:43" x14ac:dyDescent="0.3">
      <c r="A7" s="2">
        <v>20</v>
      </c>
      <c r="B7" s="2">
        <v>29.3</v>
      </c>
      <c r="C7" s="2">
        <v>38.6</v>
      </c>
      <c r="D7" s="2">
        <v>38.799999999999997</v>
      </c>
      <c r="E7" s="2">
        <v>38</v>
      </c>
      <c r="F7" s="2">
        <f t="shared" si="0"/>
        <v>38.466666666666669</v>
      </c>
      <c r="I7" s="2">
        <v>20</v>
      </c>
      <c r="J7" s="2">
        <v>31.1</v>
      </c>
      <c r="K7" s="2">
        <v>40.4</v>
      </c>
      <c r="L7" s="2">
        <v>38.6</v>
      </c>
      <c r="M7" s="2">
        <v>38.299999999999997</v>
      </c>
      <c r="N7" s="2">
        <f t="shared" si="1"/>
        <v>39.1</v>
      </c>
      <c r="P7" s="2">
        <v>20</v>
      </c>
      <c r="Q7" s="2">
        <v>29</v>
      </c>
      <c r="R7" s="2">
        <v>46.2</v>
      </c>
      <c r="S7" s="2">
        <v>43.5</v>
      </c>
      <c r="T7" s="2">
        <v>42.6</v>
      </c>
      <c r="U7" s="2">
        <f t="shared" si="2"/>
        <v>44.1</v>
      </c>
      <c r="W7" s="2">
        <v>20</v>
      </c>
      <c r="X7" s="2">
        <v>25.2</v>
      </c>
      <c r="Y7" s="2">
        <v>63.4</v>
      </c>
      <c r="Z7" s="2">
        <v>61.9</v>
      </c>
      <c r="AA7" s="2">
        <v>58.3</v>
      </c>
      <c r="AB7" s="2">
        <f t="shared" si="3"/>
        <v>61.199999999999996</v>
      </c>
      <c r="AD7" s="2">
        <v>20</v>
      </c>
      <c r="AE7" s="2">
        <v>30.2</v>
      </c>
      <c r="AF7" s="2">
        <v>39.6</v>
      </c>
      <c r="AG7" s="2">
        <v>39.4</v>
      </c>
      <c r="AH7" s="2">
        <v>39.700000000000003</v>
      </c>
      <c r="AI7" s="2">
        <f>AVERAGE(AF7:AH7)</f>
        <v>39.56666666666667</v>
      </c>
      <c r="AK7" s="2">
        <v>20</v>
      </c>
      <c r="AL7" s="2">
        <v>30.3</v>
      </c>
      <c r="AM7" s="2">
        <v>40.1</v>
      </c>
      <c r="AN7" s="2">
        <v>38.299999999999997</v>
      </c>
      <c r="AO7" s="2">
        <v>38.4</v>
      </c>
      <c r="AP7" s="2">
        <v>39.4</v>
      </c>
      <c r="AQ7" s="2">
        <f t="shared" si="4"/>
        <v>39.050000000000004</v>
      </c>
    </row>
    <row r="8" spans="1:43" x14ac:dyDescent="0.3">
      <c r="A8" s="2">
        <v>25</v>
      </c>
      <c r="B8" s="2">
        <v>29.3</v>
      </c>
      <c r="C8" s="2">
        <v>38.4</v>
      </c>
      <c r="D8" s="2">
        <v>38.799999999999997</v>
      </c>
      <c r="E8" s="2">
        <v>38</v>
      </c>
      <c r="F8" s="2">
        <f t="shared" si="0"/>
        <v>38.4</v>
      </c>
      <c r="I8" s="2">
        <v>25</v>
      </c>
      <c r="J8" s="2">
        <v>31.2</v>
      </c>
      <c r="K8" s="2">
        <v>40.6</v>
      </c>
      <c r="L8" s="2">
        <v>38.9</v>
      </c>
      <c r="M8" s="2">
        <v>38.5</v>
      </c>
      <c r="N8" s="2">
        <f t="shared" si="1"/>
        <v>39.333333333333336</v>
      </c>
      <c r="P8" s="2">
        <v>25</v>
      </c>
      <c r="Q8" s="2">
        <v>29.2</v>
      </c>
      <c r="R8" s="2">
        <v>47.7</v>
      </c>
      <c r="S8" s="2">
        <v>44.6</v>
      </c>
      <c r="T8" s="2">
        <v>43.9</v>
      </c>
      <c r="U8" s="2">
        <f t="shared" si="2"/>
        <v>45.400000000000006</v>
      </c>
      <c r="W8" s="2">
        <v>25</v>
      </c>
      <c r="X8" s="2">
        <v>25.3</v>
      </c>
      <c r="Y8" s="2">
        <v>67.2</v>
      </c>
      <c r="Z8" s="2">
        <v>65.3</v>
      </c>
      <c r="AA8" s="2">
        <v>62.1</v>
      </c>
      <c r="AB8" s="2">
        <f t="shared" si="3"/>
        <v>64.86666666666666</v>
      </c>
      <c r="AD8" s="2">
        <v>25</v>
      </c>
      <c r="AE8" s="2">
        <v>30.3</v>
      </c>
      <c r="AF8" s="2">
        <v>39.9</v>
      </c>
      <c r="AG8" s="2">
        <v>39.799999999999997</v>
      </c>
      <c r="AH8" s="2">
        <v>40.299999999999997</v>
      </c>
      <c r="AI8" s="2">
        <f>AVERAGE(AF8:AH8)</f>
        <v>39.999999999999993</v>
      </c>
      <c r="AK8" s="2">
        <v>25</v>
      </c>
      <c r="AL8" s="2">
        <v>30.2</v>
      </c>
      <c r="AM8" s="2">
        <v>40.6</v>
      </c>
      <c r="AN8" s="2">
        <v>38.799999999999997</v>
      </c>
      <c r="AO8" s="2">
        <v>38.9</v>
      </c>
      <c r="AP8" s="2">
        <v>39.9</v>
      </c>
      <c r="AQ8" s="2">
        <f t="shared" si="4"/>
        <v>39.550000000000004</v>
      </c>
    </row>
    <row r="9" spans="1:43" x14ac:dyDescent="0.3">
      <c r="A9" s="2">
        <v>30</v>
      </c>
      <c r="B9" s="2">
        <v>29.4</v>
      </c>
      <c r="C9" s="2">
        <v>40.4</v>
      </c>
      <c r="D9" s="2">
        <v>40.799999999999997</v>
      </c>
      <c r="E9" s="2">
        <v>40.200000000000003</v>
      </c>
      <c r="F9" s="2">
        <f>+AVERAGE(B9:E9)</f>
        <v>37.700000000000003</v>
      </c>
      <c r="I9" s="2">
        <v>30</v>
      </c>
      <c r="J9" s="2">
        <v>31.2</v>
      </c>
      <c r="K9" s="2">
        <v>40.799999999999997</v>
      </c>
      <c r="L9" s="2">
        <v>38.9</v>
      </c>
      <c r="M9" s="2">
        <v>38.6</v>
      </c>
      <c r="N9" s="2">
        <f t="shared" si="1"/>
        <v>39.43333333333333</v>
      </c>
      <c r="P9" s="2">
        <v>30</v>
      </c>
      <c r="Q9" s="2">
        <v>29.3</v>
      </c>
      <c r="R9" s="2">
        <v>49</v>
      </c>
      <c r="S9" s="2">
        <v>45.7</v>
      </c>
      <c r="T9" s="2">
        <v>45.4</v>
      </c>
      <c r="U9" s="2">
        <f t="shared" si="2"/>
        <v>46.699999999999996</v>
      </c>
      <c r="W9" s="2">
        <v>30</v>
      </c>
      <c r="X9" s="2">
        <v>25.2</v>
      </c>
      <c r="Y9" s="2">
        <v>70.3</v>
      </c>
      <c r="Z9" s="2">
        <v>68.900000000000006</v>
      </c>
      <c r="AA9" s="2">
        <v>65.099999999999994</v>
      </c>
      <c r="AB9" s="2">
        <f t="shared" si="3"/>
        <v>68.099999999999994</v>
      </c>
      <c r="AD9" s="2">
        <v>30</v>
      </c>
      <c r="AE9" s="2">
        <v>30.2</v>
      </c>
      <c r="AF9" s="2">
        <v>40.299999999999997</v>
      </c>
      <c r="AG9" s="2">
        <v>39.9</v>
      </c>
      <c r="AH9" s="2">
        <v>40.299999999999997</v>
      </c>
      <c r="AI9" s="2">
        <f>AVERAGE(AF9:AH9)</f>
        <v>40.166666666666664</v>
      </c>
      <c r="AK9" s="2">
        <v>30</v>
      </c>
      <c r="AL9" s="2">
        <v>30.2</v>
      </c>
      <c r="AM9" s="2">
        <v>41.1</v>
      </c>
      <c r="AN9" s="2">
        <v>39.299999999999997</v>
      </c>
      <c r="AO9" s="2">
        <v>39.200000000000003</v>
      </c>
      <c r="AP9" s="2">
        <v>40.200000000000003</v>
      </c>
      <c r="AQ9" s="2">
        <f t="shared" si="4"/>
        <v>39.950000000000003</v>
      </c>
    </row>
    <row r="10" spans="1:43" x14ac:dyDescent="0.3">
      <c r="A10" s="2">
        <v>35</v>
      </c>
      <c r="B10" s="2">
        <v>29.4</v>
      </c>
      <c r="C10" s="2">
        <v>40.35</v>
      </c>
      <c r="D10" s="2">
        <v>40.799999999999997</v>
      </c>
      <c r="E10" s="2">
        <v>40.700000000000003</v>
      </c>
      <c r="F10" s="2">
        <f>+AVERAGE(C10:E10)</f>
        <v>40.616666666666667</v>
      </c>
      <c r="I10" s="4" t="s">
        <v>10</v>
      </c>
      <c r="J10" s="4"/>
      <c r="K10" s="4"/>
      <c r="L10" s="4"/>
      <c r="M10" s="4"/>
      <c r="N10" s="4"/>
      <c r="P10" s="2">
        <v>35</v>
      </c>
      <c r="Q10" s="2">
        <v>29.3</v>
      </c>
      <c r="R10" s="2">
        <v>49.5</v>
      </c>
      <c r="S10" s="2">
        <v>46.3</v>
      </c>
      <c r="T10" s="2">
        <v>45.8</v>
      </c>
      <c r="U10" s="2">
        <f>+AVERAGE(R10:T10)</f>
        <v>47.199999999999996</v>
      </c>
      <c r="W10" s="2">
        <v>35</v>
      </c>
      <c r="X10" s="2">
        <v>25.5</v>
      </c>
      <c r="Y10" s="2">
        <v>73.599999999999994</v>
      </c>
      <c r="Z10" s="2">
        <v>72.099999999999994</v>
      </c>
      <c r="AA10" s="2">
        <v>68.5</v>
      </c>
      <c r="AB10" s="2">
        <f t="shared" si="3"/>
        <v>71.399999999999991</v>
      </c>
      <c r="AD10" s="2">
        <v>35</v>
      </c>
      <c r="AE10" s="2">
        <v>30.2</v>
      </c>
      <c r="AF10" s="2">
        <v>40.299999999999997</v>
      </c>
      <c r="AG10" s="2">
        <v>39.700000000000003</v>
      </c>
      <c r="AH10" s="2">
        <v>40.200000000000003</v>
      </c>
      <c r="AI10" s="2">
        <f>AVERAGE(AF10:AH10)</f>
        <v>40.06666666666667</v>
      </c>
      <c r="AK10" s="2">
        <v>35</v>
      </c>
      <c r="AL10" s="2">
        <v>30.1</v>
      </c>
      <c r="AM10" s="2">
        <v>41.3</v>
      </c>
      <c r="AN10" s="2">
        <v>39.9</v>
      </c>
      <c r="AO10" s="2">
        <v>40</v>
      </c>
      <c r="AP10" s="2">
        <v>40.6</v>
      </c>
      <c r="AQ10" s="2">
        <f t="shared" si="4"/>
        <v>40.449999999999996</v>
      </c>
    </row>
    <row r="11" spans="1:43" x14ac:dyDescent="0.3">
      <c r="A11" s="5" t="s">
        <v>7</v>
      </c>
      <c r="B11" s="6"/>
      <c r="C11" s="6"/>
      <c r="D11" s="6"/>
      <c r="E11" s="6"/>
      <c r="F11" s="7"/>
      <c r="I11" s="2">
        <v>0</v>
      </c>
      <c r="J11" s="2">
        <v>31.3</v>
      </c>
      <c r="K11" s="2">
        <v>32</v>
      </c>
      <c r="L11" s="2">
        <v>32.200000000000003</v>
      </c>
      <c r="M11" s="2">
        <v>32.1</v>
      </c>
      <c r="N11" s="2">
        <f>AVERAGE(K11:M11)</f>
        <v>32.1</v>
      </c>
      <c r="P11" s="2">
        <v>40</v>
      </c>
      <c r="Q11" s="2">
        <v>29.4</v>
      </c>
      <c r="R11" s="2">
        <v>49.8</v>
      </c>
      <c r="S11" s="2">
        <v>46.7</v>
      </c>
      <c r="T11" s="2">
        <v>46.1</v>
      </c>
      <c r="U11" s="2">
        <f>+AVERAGE(R11:T11)</f>
        <v>47.533333333333331</v>
      </c>
      <c r="W11" s="2">
        <v>40</v>
      </c>
      <c r="X11" s="2">
        <v>25.4</v>
      </c>
      <c r="Y11" s="2">
        <v>76</v>
      </c>
      <c r="Z11" s="2">
        <v>74.400000000000006</v>
      </c>
      <c r="AA11" s="2">
        <v>70.5</v>
      </c>
      <c r="AB11" s="2">
        <f t="shared" si="3"/>
        <v>73.63333333333334</v>
      </c>
      <c r="AD11" s="2"/>
      <c r="AE11" s="2"/>
      <c r="AF11" s="2"/>
      <c r="AG11" s="2"/>
      <c r="AH11" s="2"/>
      <c r="AI11" s="2"/>
      <c r="AK11" s="4" t="s">
        <v>17</v>
      </c>
      <c r="AL11" s="4"/>
      <c r="AM11" s="4"/>
      <c r="AN11" s="4"/>
      <c r="AO11" s="4"/>
      <c r="AP11" s="4"/>
      <c r="AQ11" s="4"/>
    </row>
    <row r="12" spans="1:43" x14ac:dyDescent="0.3">
      <c r="A12" s="2">
        <v>0</v>
      </c>
      <c r="B12" s="2">
        <v>29.7</v>
      </c>
      <c r="C12" s="2">
        <v>30.3</v>
      </c>
      <c r="D12" s="2">
        <v>30.3</v>
      </c>
      <c r="E12" s="2">
        <v>30.1</v>
      </c>
      <c r="F12" s="2">
        <f>AVERAGE(C12:E12)</f>
        <v>30.233333333333334</v>
      </c>
      <c r="I12" s="2">
        <v>5</v>
      </c>
      <c r="J12" s="2">
        <v>31.2</v>
      </c>
      <c r="K12" s="2">
        <v>35.799999999999997</v>
      </c>
      <c r="L12" s="2">
        <v>35.1</v>
      </c>
      <c r="M12" s="2">
        <v>34.700000000000003</v>
      </c>
      <c r="N12" s="2">
        <f t="shared" ref="N12:N17" si="5">AVERAGE(K12:M12)</f>
        <v>35.200000000000003</v>
      </c>
      <c r="W12" s="2">
        <v>45</v>
      </c>
      <c r="X12" s="2">
        <v>25.5</v>
      </c>
      <c r="Y12" s="2">
        <v>76.900000000000006</v>
      </c>
      <c r="Z12" s="2">
        <v>75.7</v>
      </c>
      <c r="AA12" s="2">
        <v>71.7</v>
      </c>
      <c r="AB12" s="2">
        <f t="shared" si="3"/>
        <v>74.766666666666666</v>
      </c>
      <c r="AD12" s="2"/>
      <c r="AE12" s="2"/>
      <c r="AF12" s="2"/>
      <c r="AG12" s="2"/>
      <c r="AH12" s="2"/>
      <c r="AI12" s="2"/>
      <c r="AK12" s="2" t="s">
        <v>0</v>
      </c>
      <c r="AL12" s="2" t="s">
        <v>1</v>
      </c>
      <c r="AM12" s="2" t="s">
        <v>2</v>
      </c>
      <c r="AN12" s="2" t="s">
        <v>3</v>
      </c>
      <c r="AO12" s="2" t="s">
        <v>4</v>
      </c>
      <c r="AP12" s="2" t="s">
        <v>15</v>
      </c>
      <c r="AQ12" s="8" t="s">
        <v>5</v>
      </c>
    </row>
    <row r="13" spans="1:43" x14ac:dyDescent="0.3">
      <c r="A13" s="2">
        <v>5</v>
      </c>
      <c r="B13" s="2">
        <v>29.8</v>
      </c>
      <c r="C13" s="2">
        <v>33.799999999999997</v>
      </c>
      <c r="D13" s="2">
        <v>33.799999999999997</v>
      </c>
      <c r="E13" s="2">
        <v>33</v>
      </c>
      <c r="F13" s="2">
        <f t="shared" ref="F13:F17" si="6">AVERAGE(C13:E13)</f>
        <v>33.533333333333331</v>
      </c>
      <c r="I13" s="2">
        <v>10</v>
      </c>
      <c r="J13" s="2">
        <v>31.2</v>
      </c>
      <c r="K13" s="2">
        <v>37.799999999999997</v>
      </c>
      <c r="L13" s="2">
        <v>36.6</v>
      </c>
      <c r="M13" s="2">
        <v>36.1</v>
      </c>
      <c r="N13" s="2">
        <f t="shared" si="5"/>
        <v>36.833333333333336</v>
      </c>
      <c r="P13" s="2"/>
      <c r="Q13" s="2"/>
      <c r="R13" s="2"/>
      <c r="S13" s="2"/>
      <c r="T13" s="2"/>
      <c r="U13" s="2"/>
      <c r="W13" s="2">
        <v>50</v>
      </c>
      <c r="X13" s="2">
        <v>25.5</v>
      </c>
      <c r="Y13" s="2">
        <v>76.900000000000006</v>
      </c>
      <c r="Z13" s="2">
        <v>76.3</v>
      </c>
      <c r="AA13" s="2">
        <v>72.599999999999994</v>
      </c>
      <c r="AB13" s="2">
        <f t="shared" si="3"/>
        <v>75.266666666666666</v>
      </c>
      <c r="AD13" s="4" t="s">
        <v>20</v>
      </c>
      <c r="AE13" s="4"/>
      <c r="AF13" s="4"/>
      <c r="AG13" s="4"/>
      <c r="AH13" s="4"/>
      <c r="AI13" s="4"/>
      <c r="AK13" s="2">
        <v>0</v>
      </c>
      <c r="AL13" s="2">
        <v>30.9</v>
      </c>
      <c r="AM13" s="2">
        <v>33.799999999999997</v>
      </c>
      <c r="AN13" s="2">
        <v>33.6</v>
      </c>
      <c r="AO13" s="2">
        <v>33.700000000000003</v>
      </c>
      <c r="AP13" s="2">
        <v>34.799999999999997</v>
      </c>
      <c r="AQ13" s="2">
        <f>AVERAGE(AM13:AP13)</f>
        <v>33.975000000000001</v>
      </c>
    </row>
    <row r="14" spans="1:43" x14ac:dyDescent="0.3">
      <c r="A14" s="2">
        <v>10</v>
      </c>
      <c r="B14" s="2">
        <v>29.8</v>
      </c>
      <c r="C14" s="2">
        <v>36.5</v>
      </c>
      <c r="D14" s="2">
        <v>36.700000000000003</v>
      </c>
      <c r="E14" s="2">
        <v>35.9</v>
      </c>
      <c r="F14" s="2">
        <f t="shared" si="6"/>
        <v>36.366666666666667</v>
      </c>
      <c r="I14" s="2">
        <v>15</v>
      </c>
      <c r="J14" s="2">
        <v>31.3</v>
      </c>
      <c r="K14" s="2">
        <v>38.700000000000003</v>
      </c>
      <c r="L14" s="2">
        <v>37.1</v>
      </c>
      <c r="M14" s="2">
        <v>36.700000000000003</v>
      </c>
      <c r="N14" s="2">
        <f t="shared" si="5"/>
        <v>37.500000000000007</v>
      </c>
      <c r="P14" s="4" t="s">
        <v>13</v>
      </c>
      <c r="Q14" s="4"/>
      <c r="R14" s="4"/>
      <c r="S14" s="4"/>
      <c r="T14" s="4"/>
      <c r="U14" s="4"/>
      <c r="AD14" s="2" t="s">
        <v>0</v>
      </c>
      <c r="AE14" s="2" t="s">
        <v>1</v>
      </c>
      <c r="AF14" s="2" t="s">
        <v>2</v>
      </c>
      <c r="AG14" s="2" t="s">
        <v>3</v>
      </c>
      <c r="AH14" s="2" t="s">
        <v>4</v>
      </c>
      <c r="AI14" s="2" t="s">
        <v>5</v>
      </c>
      <c r="AK14" s="2">
        <v>5</v>
      </c>
      <c r="AL14" s="2">
        <v>30.9</v>
      </c>
      <c r="AM14" s="2">
        <v>34.700000000000003</v>
      </c>
      <c r="AN14" s="2">
        <v>34.700000000000003</v>
      </c>
      <c r="AO14" s="2">
        <v>34.6</v>
      </c>
      <c r="AP14" s="2">
        <v>34.9</v>
      </c>
      <c r="AQ14" s="2">
        <f>AVERAGE(AM14:AP14)</f>
        <v>34.725000000000001</v>
      </c>
    </row>
    <row r="15" spans="1:43" x14ac:dyDescent="0.3">
      <c r="A15" s="2">
        <v>15</v>
      </c>
      <c r="B15" s="2">
        <v>29.8</v>
      </c>
      <c r="C15" s="2">
        <v>38</v>
      </c>
      <c r="D15" s="2">
        <v>38.299999999999997</v>
      </c>
      <c r="E15" s="2">
        <v>37.5</v>
      </c>
      <c r="F15" s="2">
        <f t="shared" si="6"/>
        <v>37.93333333333333</v>
      </c>
      <c r="I15" s="2">
        <v>20</v>
      </c>
      <c r="J15" s="2">
        <v>31.2</v>
      </c>
      <c r="K15" s="2">
        <v>38.9</v>
      </c>
      <c r="L15" s="2">
        <v>37.299999999999997</v>
      </c>
      <c r="M15" s="2">
        <v>36.799999999999997</v>
      </c>
      <c r="N15" s="2">
        <f t="shared" si="5"/>
        <v>37.666666666666664</v>
      </c>
      <c r="P15" s="2">
        <v>0</v>
      </c>
      <c r="Q15" s="2">
        <v>27.9</v>
      </c>
      <c r="R15" s="2">
        <v>28.3</v>
      </c>
      <c r="S15" s="2">
        <v>28.5</v>
      </c>
      <c r="T15" s="2">
        <v>28.3</v>
      </c>
      <c r="U15" s="2">
        <f>AVERAGE(R15:T15)</f>
        <v>28.366666666666664</v>
      </c>
      <c r="AD15" s="2">
        <v>0</v>
      </c>
      <c r="AE15" s="2">
        <v>30.4</v>
      </c>
      <c r="AF15" s="2">
        <v>33.4</v>
      </c>
      <c r="AG15" s="2">
        <v>33.299999999999997</v>
      </c>
      <c r="AH15" s="2">
        <v>33</v>
      </c>
      <c r="AI15" s="2">
        <f>AVERAGE(AF15:AH15)</f>
        <v>33.233333333333327</v>
      </c>
      <c r="AK15" s="2">
        <v>10</v>
      </c>
      <c r="AL15" s="2">
        <v>30.9</v>
      </c>
      <c r="AM15" s="2">
        <v>36.5</v>
      </c>
      <c r="AN15" s="2">
        <v>35.6</v>
      </c>
      <c r="AO15" s="2">
        <v>35.799999999999997</v>
      </c>
      <c r="AP15" s="2">
        <v>36.5</v>
      </c>
      <c r="AQ15" s="2">
        <f>AVERAGE(AM15:AP15)</f>
        <v>36.099999999999994</v>
      </c>
    </row>
    <row r="16" spans="1:43" x14ac:dyDescent="0.3">
      <c r="A16" s="2">
        <v>20</v>
      </c>
      <c r="B16" s="2">
        <v>29.7</v>
      </c>
      <c r="C16" s="2">
        <v>38.5</v>
      </c>
      <c r="D16" s="2">
        <v>38.799999999999997</v>
      </c>
      <c r="E16" s="2">
        <v>38.1</v>
      </c>
      <c r="F16" s="2">
        <f t="shared" si="6"/>
        <v>38.466666666666669</v>
      </c>
      <c r="I16" s="2">
        <v>25</v>
      </c>
      <c r="J16" s="2">
        <v>31.2</v>
      </c>
      <c r="K16" s="2">
        <v>38.9</v>
      </c>
      <c r="L16" s="2">
        <v>37.4</v>
      </c>
      <c r="M16" s="2">
        <v>36.9</v>
      </c>
      <c r="N16" s="2">
        <f t="shared" si="5"/>
        <v>37.733333333333327</v>
      </c>
      <c r="P16" s="2">
        <v>5</v>
      </c>
      <c r="Q16" s="2">
        <v>28.5</v>
      </c>
      <c r="R16" s="2">
        <v>34.4</v>
      </c>
      <c r="S16" s="2">
        <v>33.700000000000003</v>
      </c>
      <c r="T16" s="2">
        <v>32.6</v>
      </c>
      <c r="U16" s="2">
        <f t="shared" ref="U16:U21" si="7">AVERAGE(R16:T16)</f>
        <v>33.566666666666663</v>
      </c>
      <c r="AD16" s="2">
        <v>5</v>
      </c>
      <c r="AE16" s="2">
        <v>30.3</v>
      </c>
      <c r="AF16" s="2">
        <v>35.799999999999997</v>
      </c>
      <c r="AG16" s="2">
        <v>35.799999999999997</v>
      </c>
      <c r="AH16" s="2">
        <v>35.4</v>
      </c>
      <c r="AI16" s="2">
        <f t="shared" ref="AI16:AI22" si="8">AVERAGE(AF16:AH16)</f>
        <v>35.666666666666664</v>
      </c>
      <c r="AK16" s="2">
        <v>15</v>
      </c>
      <c r="AL16" s="2">
        <v>30.8</v>
      </c>
      <c r="AM16" s="2">
        <v>37.5</v>
      </c>
      <c r="AN16" s="2">
        <v>36.5</v>
      </c>
      <c r="AO16" s="2">
        <v>36.6</v>
      </c>
      <c r="AP16" s="2">
        <v>37.5</v>
      </c>
      <c r="AQ16" s="2">
        <f>AVERAGE(AM16:AP16)</f>
        <v>37.024999999999999</v>
      </c>
    </row>
    <row r="17" spans="1:43" x14ac:dyDescent="0.3">
      <c r="A17" s="2">
        <v>25</v>
      </c>
      <c r="B17" s="2">
        <v>29.9</v>
      </c>
      <c r="C17" s="2">
        <v>38.799999999999997</v>
      </c>
      <c r="D17" s="2">
        <v>39.1</v>
      </c>
      <c r="E17" s="2">
        <v>38.5</v>
      </c>
      <c r="F17" s="2">
        <f t="shared" si="6"/>
        <v>38.800000000000004</v>
      </c>
      <c r="I17" s="2">
        <v>30</v>
      </c>
      <c r="J17" s="2">
        <v>31.3</v>
      </c>
      <c r="K17" s="2">
        <v>39</v>
      </c>
      <c r="L17" s="2">
        <v>37.299999999999997</v>
      </c>
      <c r="M17" s="2">
        <v>37</v>
      </c>
      <c r="N17" s="2">
        <f t="shared" si="5"/>
        <v>37.766666666666666</v>
      </c>
      <c r="P17" s="2">
        <v>10</v>
      </c>
      <c r="Q17" s="2">
        <v>28.9</v>
      </c>
      <c r="R17" s="2">
        <v>39.200000000000003</v>
      </c>
      <c r="S17" s="2">
        <v>37.5</v>
      </c>
      <c r="T17" s="2">
        <v>36.299999999999997</v>
      </c>
      <c r="U17" s="2">
        <f t="shared" si="7"/>
        <v>37.666666666666664</v>
      </c>
      <c r="AD17" s="2">
        <v>10</v>
      </c>
      <c r="AE17" s="2">
        <v>30.2</v>
      </c>
      <c r="AF17" s="2">
        <v>38.799999999999997</v>
      </c>
      <c r="AG17" s="2">
        <v>38.6</v>
      </c>
      <c r="AH17" s="2">
        <v>38.700000000000003</v>
      </c>
      <c r="AI17" s="2">
        <f t="shared" si="8"/>
        <v>38.700000000000003</v>
      </c>
      <c r="AK17" s="2">
        <v>20</v>
      </c>
      <c r="AL17" s="2">
        <v>30.9</v>
      </c>
      <c r="AM17" s="2">
        <v>38.5</v>
      </c>
      <c r="AN17" s="2">
        <v>37.380000000000003</v>
      </c>
      <c r="AO17" s="2">
        <v>37.5</v>
      </c>
      <c r="AP17" s="2">
        <v>38.299999999999997</v>
      </c>
      <c r="AQ17" s="2">
        <f>AVERAGE(AM17:AP17)</f>
        <v>37.92</v>
      </c>
    </row>
    <row r="18" spans="1:43" x14ac:dyDescent="0.3">
      <c r="A18" s="2">
        <v>30</v>
      </c>
      <c r="B18" s="2">
        <v>30</v>
      </c>
      <c r="C18" s="2">
        <v>39</v>
      </c>
      <c r="D18" s="2">
        <v>39.4</v>
      </c>
      <c r="E18" s="2">
        <v>38.700000000000003</v>
      </c>
      <c r="F18" s="2">
        <f>AVERAGE(C18:E18)</f>
        <v>39.033333333333339</v>
      </c>
      <c r="I18" s="5" t="s">
        <v>11</v>
      </c>
      <c r="J18" s="6"/>
      <c r="K18" s="6"/>
      <c r="L18" s="6"/>
      <c r="M18" s="6"/>
      <c r="N18" s="7"/>
      <c r="P18" s="2">
        <v>15</v>
      </c>
      <c r="Q18" s="2">
        <v>29.2</v>
      </c>
      <c r="R18" s="2">
        <v>41.7</v>
      </c>
      <c r="S18" s="2">
        <v>39.6</v>
      </c>
      <c r="T18" s="2">
        <v>38.4</v>
      </c>
      <c r="U18" s="2">
        <f t="shared" si="7"/>
        <v>39.900000000000006</v>
      </c>
      <c r="AD18" s="2">
        <v>15</v>
      </c>
      <c r="AE18" s="2">
        <v>30.4</v>
      </c>
      <c r="AF18" s="2">
        <v>40.299999999999997</v>
      </c>
      <c r="AG18" s="2">
        <v>39.799999999999997</v>
      </c>
      <c r="AH18" s="2">
        <v>40</v>
      </c>
      <c r="AI18" s="2">
        <f t="shared" si="8"/>
        <v>40.033333333333331</v>
      </c>
      <c r="AK18" s="2">
        <v>25</v>
      </c>
      <c r="AL18" s="2">
        <v>31</v>
      </c>
      <c r="AM18" s="2">
        <v>39.5</v>
      </c>
      <c r="AN18" s="2">
        <v>38.25</v>
      </c>
      <c r="AO18" s="2">
        <v>38.31</v>
      </c>
      <c r="AP18" s="2">
        <v>39.130000000000003</v>
      </c>
      <c r="AQ18" s="2">
        <f>AVERAGE(AM18:AP18)</f>
        <v>38.797499999999999</v>
      </c>
    </row>
    <row r="19" spans="1:43" x14ac:dyDescent="0.3">
      <c r="A19" s="2">
        <v>35</v>
      </c>
      <c r="B19" s="2">
        <v>30.1</v>
      </c>
      <c r="C19" s="2">
        <v>39.4</v>
      </c>
      <c r="D19" s="2">
        <v>39.4</v>
      </c>
      <c r="E19" s="2">
        <v>38.700000000000003</v>
      </c>
      <c r="F19" s="2">
        <f>AVERAGE(C19:E19)</f>
        <v>39.166666666666664</v>
      </c>
      <c r="I19" s="2">
        <v>0</v>
      </c>
      <c r="J19" s="2">
        <v>31</v>
      </c>
      <c r="K19" s="2">
        <v>31.7</v>
      </c>
      <c r="L19" s="2">
        <v>31.8</v>
      </c>
      <c r="M19" s="2">
        <v>31.8</v>
      </c>
      <c r="N19" s="2">
        <f>AVERAGE(K19:M19)</f>
        <v>31.766666666666666</v>
      </c>
      <c r="P19" s="2">
        <v>20</v>
      </c>
      <c r="Q19" s="2">
        <v>29.3</v>
      </c>
      <c r="R19" s="2">
        <v>43.4</v>
      </c>
      <c r="S19" s="2">
        <v>41.1</v>
      </c>
      <c r="T19" s="2">
        <v>39.799999999999997</v>
      </c>
      <c r="U19" s="2">
        <f t="shared" si="7"/>
        <v>41.43333333333333</v>
      </c>
      <c r="AD19" s="2">
        <v>20</v>
      </c>
      <c r="AE19" s="2">
        <v>30.4</v>
      </c>
      <c r="AF19" s="2">
        <v>40.6</v>
      </c>
      <c r="AG19" s="2">
        <v>40.5</v>
      </c>
      <c r="AH19" s="2">
        <v>40.700000000000003</v>
      </c>
      <c r="AI19" s="2">
        <f t="shared" si="8"/>
        <v>40.6</v>
      </c>
      <c r="AK19" s="2">
        <v>30</v>
      </c>
      <c r="AL19" s="2">
        <v>30.9</v>
      </c>
      <c r="AM19" s="2">
        <v>39.700000000000003</v>
      </c>
      <c r="AN19" s="2">
        <v>38.299999999999997</v>
      </c>
      <c r="AO19" s="2">
        <v>38.44</v>
      </c>
      <c r="AP19" s="2">
        <v>39.25</v>
      </c>
      <c r="AQ19" s="2">
        <f>AVERAGE(AM19:AP19)</f>
        <v>38.922499999999999</v>
      </c>
    </row>
    <row r="20" spans="1:43" x14ac:dyDescent="0.3">
      <c r="A20" s="5" t="s">
        <v>8</v>
      </c>
      <c r="B20" s="6"/>
      <c r="C20" s="6"/>
      <c r="D20" s="6"/>
      <c r="E20" s="6"/>
      <c r="F20" s="7"/>
      <c r="I20" s="2">
        <v>5</v>
      </c>
      <c r="J20" s="2">
        <v>31.1</v>
      </c>
      <c r="K20" s="2">
        <v>35</v>
      </c>
      <c r="L20" s="2">
        <v>34.299999999999997</v>
      </c>
      <c r="M20" s="2">
        <v>34</v>
      </c>
      <c r="N20" s="2">
        <f t="shared" ref="N20:N25" si="9">AVERAGE(K20:M20)</f>
        <v>34.43333333333333</v>
      </c>
      <c r="P20" s="2">
        <v>25</v>
      </c>
      <c r="Q20" s="2">
        <v>29.6</v>
      </c>
      <c r="R20" s="2">
        <v>44.5</v>
      </c>
      <c r="S20" s="2">
        <v>42</v>
      </c>
      <c r="T20" s="2">
        <v>40.6</v>
      </c>
      <c r="U20" s="2">
        <f>AVERAGE(R20:T20)</f>
        <v>42.366666666666667</v>
      </c>
      <c r="AD20" s="2">
        <v>25</v>
      </c>
      <c r="AE20" s="2">
        <v>30.3</v>
      </c>
      <c r="AF20" s="2">
        <v>40.799999999999997</v>
      </c>
      <c r="AG20" s="2">
        <v>40.6</v>
      </c>
      <c r="AH20" s="2">
        <v>40.9</v>
      </c>
      <c r="AI20" s="2">
        <f t="shared" si="8"/>
        <v>40.766666666666673</v>
      </c>
      <c r="AK20" s="2">
        <v>35</v>
      </c>
      <c r="AL20" s="2">
        <v>30.8</v>
      </c>
      <c r="AM20" s="2">
        <v>40</v>
      </c>
      <c r="AN20" s="2">
        <v>38.5</v>
      </c>
      <c r="AO20" s="2">
        <v>38.630000000000003</v>
      </c>
      <c r="AP20" s="2">
        <v>39.5</v>
      </c>
      <c r="AQ20" s="2">
        <f>AVERAGE(AM20:AP20)</f>
        <v>39.157499999999999</v>
      </c>
    </row>
    <row r="21" spans="1:43" x14ac:dyDescent="0.3">
      <c r="A21" s="3">
        <v>0</v>
      </c>
      <c r="B21" s="1">
        <v>30</v>
      </c>
      <c r="C21" s="3">
        <v>31.5</v>
      </c>
      <c r="D21" s="3">
        <v>32</v>
      </c>
      <c r="E21" s="3">
        <v>29.8</v>
      </c>
      <c r="F21" s="2">
        <f>AVERAGE(C21:E21)</f>
        <v>31.099999999999998</v>
      </c>
      <c r="I21" s="2">
        <v>10</v>
      </c>
      <c r="J21" s="2">
        <v>31.2</v>
      </c>
      <c r="K21" s="2">
        <v>37.299999999999997</v>
      </c>
      <c r="L21" s="2">
        <v>36.1</v>
      </c>
      <c r="M21" s="2">
        <v>35.700000000000003</v>
      </c>
      <c r="N21" s="2">
        <f t="shared" si="9"/>
        <v>36.366666666666667</v>
      </c>
      <c r="P21" s="2">
        <v>30</v>
      </c>
      <c r="Q21" s="2">
        <v>29.7</v>
      </c>
      <c r="R21" s="2">
        <v>45</v>
      </c>
      <c r="S21" s="2">
        <v>42.5</v>
      </c>
      <c r="T21" s="2">
        <v>41.4</v>
      </c>
      <c r="U21" s="2">
        <f t="shared" si="7"/>
        <v>42.966666666666669</v>
      </c>
      <c r="AD21" s="2">
        <v>30</v>
      </c>
      <c r="AE21" s="2">
        <v>30.4</v>
      </c>
      <c r="AF21" s="2">
        <v>40.799999999999997</v>
      </c>
      <c r="AG21" s="2">
        <v>40.5</v>
      </c>
      <c r="AH21" s="2">
        <v>41</v>
      </c>
      <c r="AI21" s="2">
        <f t="shared" si="8"/>
        <v>40.766666666666666</v>
      </c>
      <c r="AK21" s="4" t="s">
        <v>18</v>
      </c>
      <c r="AL21" s="4"/>
      <c r="AM21" s="4"/>
      <c r="AN21" s="4"/>
      <c r="AO21" s="4"/>
      <c r="AP21" s="4"/>
      <c r="AQ21" s="4"/>
    </row>
    <row r="22" spans="1:43" x14ac:dyDescent="0.3">
      <c r="A22" s="3">
        <v>5</v>
      </c>
      <c r="B22" s="1">
        <v>30.1</v>
      </c>
      <c r="C22" s="3">
        <v>33.5</v>
      </c>
      <c r="D22" s="3">
        <v>34</v>
      </c>
      <c r="E22" s="3">
        <v>32.1</v>
      </c>
      <c r="F22" s="2">
        <f t="shared" ref="F22:F28" si="10">AVERAGE(C22:E22)</f>
        <v>33.199999999999996</v>
      </c>
      <c r="I22" s="2">
        <v>15</v>
      </c>
      <c r="J22" s="2">
        <v>31.1</v>
      </c>
      <c r="K22" s="2">
        <v>38</v>
      </c>
      <c r="L22" s="2">
        <v>36.299999999999997</v>
      </c>
      <c r="M22" s="2">
        <v>36.299999999999997</v>
      </c>
      <c r="N22" s="2">
        <f t="shared" si="9"/>
        <v>36.866666666666667</v>
      </c>
      <c r="P22" s="2">
        <v>35</v>
      </c>
      <c r="Q22" s="2">
        <v>29.7</v>
      </c>
      <c r="R22" s="2">
        <v>45.8</v>
      </c>
      <c r="S22" s="2">
        <v>43</v>
      </c>
      <c r="T22" s="2">
        <v>41.7</v>
      </c>
      <c r="U22" s="2">
        <f>AVERAGE(R22:T22)</f>
        <v>43.5</v>
      </c>
      <c r="AD22" s="2">
        <v>35</v>
      </c>
      <c r="AE22" s="2">
        <v>30.3</v>
      </c>
      <c r="AF22" s="2">
        <v>40.799999999999997</v>
      </c>
      <c r="AG22" s="2">
        <v>40.5</v>
      </c>
      <c r="AH22" s="2">
        <v>41.1</v>
      </c>
      <c r="AI22" s="2">
        <f t="shared" si="8"/>
        <v>40.800000000000004</v>
      </c>
      <c r="AK22" s="2" t="s">
        <v>0</v>
      </c>
      <c r="AL22" s="2" t="s">
        <v>1</v>
      </c>
      <c r="AM22" s="2" t="s">
        <v>2</v>
      </c>
      <c r="AN22" s="2" t="s">
        <v>3</v>
      </c>
      <c r="AO22" s="2" t="s">
        <v>4</v>
      </c>
      <c r="AP22" s="2" t="s">
        <v>15</v>
      </c>
      <c r="AQ22" s="8" t="s">
        <v>5</v>
      </c>
    </row>
    <row r="23" spans="1:43" x14ac:dyDescent="0.3">
      <c r="A23" s="3">
        <v>10</v>
      </c>
      <c r="B23" s="1">
        <v>30.1</v>
      </c>
      <c r="C23" s="3">
        <v>36.5</v>
      </c>
      <c r="D23" s="3">
        <v>37</v>
      </c>
      <c r="E23" s="3">
        <v>34.9</v>
      </c>
      <c r="F23" s="2">
        <f t="shared" si="10"/>
        <v>36.133333333333333</v>
      </c>
      <c r="I23" s="2">
        <v>20</v>
      </c>
      <c r="J23" s="2">
        <v>31.1</v>
      </c>
      <c r="K23" s="2">
        <v>38.4</v>
      </c>
      <c r="L23" s="2">
        <v>36.700000000000003</v>
      </c>
      <c r="M23" s="2">
        <v>36.4</v>
      </c>
      <c r="N23" s="2">
        <f t="shared" si="9"/>
        <v>37.166666666666664</v>
      </c>
      <c r="P23" s="2"/>
      <c r="Q23" s="2"/>
      <c r="R23" s="2"/>
      <c r="S23" s="2"/>
      <c r="T23" s="2"/>
      <c r="U23" s="2"/>
      <c r="AD23" s="2"/>
      <c r="AE23" s="2"/>
      <c r="AF23" s="2"/>
      <c r="AG23" s="2"/>
      <c r="AH23" s="2"/>
      <c r="AI23" s="2"/>
      <c r="AK23" s="2">
        <v>0</v>
      </c>
      <c r="AL23" s="2">
        <v>30.9</v>
      </c>
      <c r="AM23" s="2">
        <v>33.799999999999997</v>
      </c>
      <c r="AN23" s="2">
        <v>33.799999999999997</v>
      </c>
      <c r="AO23" s="2">
        <v>33.9</v>
      </c>
      <c r="AP23" s="2">
        <v>34</v>
      </c>
      <c r="AQ23" s="2">
        <f>AVERAGE(AM23:AP23)</f>
        <v>33.875</v>
      </c>
    </row>
    <row r="24" spans="1:43" x14ac:dyDescent="0.3">
      <c r="A24" s="3">
        <v>15</v>
      </c>
      <c r="B24" s="1">
        <v>30.2</v>
      </c>
      <c r="C24" s="3">
        <v>37.200000000000003</v>
      </c>
      <c r="D24" s="3">
        <v>38</v>
      </c>
      <c r="E24" s="3">
        <v>35.6</v>
      </c>
      <c r="F24" s="2">
        <f t="shared" si="10"/>
        <v>36.933333333333337</v>
      </c>
      <c r="I24" s="2">
        <v>25</v>
      </c>
      <c r="J24" s="2">
        <v>31.1</v>
      </c>
      <c r="K24" s="2">
        <v>38.4</v>
      </c>
      <c r="L24" s="2">
        <v>36.799999999999997</v>
      </c>
      <c r="M24" s="2">
        <v>36.5</v>
      </c>
      <c r="N24" s="2">
        <f t="shared" si="9"/>
        <v>37.233333333333327</v>
      </c>
      <c r="AD24" s="4" t="s">
        <v>19</v>
      </c>
      <c r="AE24" s="4"/>
      <c r="AF24" s="4"/>
      <c r="AG24" s="4"/>
      <c r="AH24" s="4"/>
      <c r="AI24" s="4"/>
      <c r="AK24" s="2">
        <v>5</v>
      </c>
      <c r="AL24" s="2">
        <v>30.8</v>
      </c>
      <c r="AM24" s="2">
        <v>34.799999999999997</v>
      </c>
      <c r="AN24" s="2">
        <v>34.6</v>
      </c>
      <c r="AO24" s="2">
        <v>34.6</v>
      </c>
      <c r="AP24" s="2">
        <v>34.9</v>
      </c>
      <c r="AQ24" s="2">
        <f t="shared" ref="AQ24:AQ29" si="11">AVERAGE(AM24:AP24)</f>
        <v>34.725000000000001</v>
      </c>
    </row>
    <row r="25" spans="1:43" x14ac:dyDescent="0.3">
      <c r="A25" s="3">
        <v>20</v>
      </c>
      <c r="B25" s="1">
        <v>30.2</v>
      </c>
      <c r="C25" s="3">
        <v>37.799999999999997</v>
      </c>
      <c r="D25" s="3">
        <v>38.5</v>
      </c>
      <c r="E25" s="3">
        <v>36</v>
      </c>
      <c r="F25" s="2">
        <f t="shared" si="10"/>
        <v>37.43333333333333</v>
      </c>
      <c r="I25" s="2">
        <v>30</v>
      </c>
      <c r="J25" s="2">
        <v>31</v>
      </c>
      <c r="K25" s="2">
        <v>38.5</v>
      </c>
      <c r="L25" s="2">
        <v>36.799999999999997</v>
      </c>
      <c r="M25" s="2">
        <v>36.5</v>
      </c>
      <c r="N25" s="2">
        <f t="shared" si="9"/>
        <v>37.266666666666666</v>
      </c>
      <c r="P25" s="4" t="s">
        <v>11</v>
      </c>
      <c r="Q25" s="4"/>
      <c r="R25" s="4"/>
      <c r="S25" s="4"/>
      <c r="T25" s="4"/>
      <c r="U25" s="4"/>
      <c r="AD25" s="2" t="s">
        <v>0</v>
      </c>
      <c r="AE25" s="2" t="s">
        <v>1</v>
      </c>
      <c r="AF25" s="2" t="s">
        <v>2</v>
      </c>
      <c r="AG25" s="2" t="s">
        <v>3</v>
      </c>
      <c r="AH25" s="2" t="s">
        <v>4</v>
      </c>
      <c r="AI25" s="2" t="s">
        <v>5</v>
      </c>
      <c r="AK25" s="2">
        <v>10</v>
      </c>
      <c r="AL25" s="2">
        <v>30.9</v>
      </c>
      <c r="AM25" s="2">
        <v>35.200000000000003</v>
      </c>
      <c r="AN25" s="2">
        <v>35.5</v>
      </c>
      <c r="AO25" s="2">
        <v>35.4</v>
      </c>
      <c r="AP25" s="2">
        <v>35.6</v>
      </c>
      <c r="AQ25" s="2">
        <f t="shared" si="11"/>
        <v>35.424999999999997</v>
      </c>
    </row>
    <row r="26" spans="1:43" x14ac:dyDescent="0.3">
      <c r="A26" s="3">
        <v>25</v>
      </c>
      <c r="B26" s="1">
        <v>30.2</v>
      </c>
      <c r="C26" s="3">
        <v>38</v>
      </c>
      <c r="D26" s="3">
        <v>39</v>
      </c>
      <c r="E26" s="3">
        <v>36.5</v>
      </c>
      <c r="F26" s="2">
        <f t="shared" si="10"/>
        <v>37.833333333333336</v>
      </c>
      <c r="P26" s="2">
        <v>0</v>
      </c>
      <c r="Q26" s="2">
        <v>29</v>
      </c>
      <c r="R26" s="2">
        <v>29.6</v>
      </c>
      <c r="S26" s="2">
        <v>29.9</v>
      </c>
      <c r="T26" s="2">
        <v>29.8</v>
      </c>
      <c r="U26" s="2">
        <f>AVERAGE(R26:T26)</f>
        <v>29.766666666666666</v>
      </c>
      <c r="AD26" s="2">
        <v>0</v>
      </c>
      <c r="AE26" s="2">
        <v>31.5</v>
      </c>
      <c r="AF26" s="2">
        <v>31.3</v>
      </c>
      <c r="AG26" s="2">
        <v>31.6</v>
      </c>
      <c r="AH26" s="2">
        <v>31.4</v>
      </c>
      <c r="AI26" s="2">
        <f>AVERAGE(AF26:AH26)</f>
        <v>31.433333333333337</v>
      </c>
      <c r="AK26" s="2">
        <v>15</v>
      </c>
      <c r="AL26" s="2">
        <v>31</v>
      </c>
      <c r="AM26" s="2">
        <v>36.9</v>
      </c>
      <c r="AN26" s="2">
        <v>36.1</v>
      </c>
      <c r="AO26" s="2">
        <v>36.200000000000003</v>
      </c>
      <c r="AP26" s="2">
        <v>36.799999999999997</v>
      </c>
      <c r="AQ26" s="2">
        <f>AVERAGE(AM26:AP26)</f>
        <v>36.5</v>
      </c>
    </row>
    <row r="27" spans="1:43" x14ac:dyDescent="0.3">
      <c r="A27" s="3">
        <v>30</v>
      </c>
      <c r="B27" s="1">
        <v>30.3</v>
      </c>
      <c r="C27" s="3">
        <v>38.5</v>
      </c>
      <c r="D27" s="3">
        <v>39.200000000000003</v>
      </c>
      <c r="E27" s="3">
        <v>36.6</v>
      </c>
      <c r="F27" s="2">
        <f t="shared" si="10"/>
        <v>38.1</v>
      </c>
      <c r="P27" s="2">
        <v>5</v>
      </c>
      <c r="Q27" s="2">
        <v>29.3</v>
      </c>
      <c r="R27" s="2">
        <v>34.6</v>
      </c>
      <c r="S27" s="2">
        <v>33.799999999999997</v>
      </c>
      <c r="T27" s="2">
        <v>33</v>
      </c>
      <c r="U27" s="2">
        <f t="shared" ref="U27:U33" si="12">AVERAGE(R27:T27)</f>
        <v>33.800000000000004</v>
      </c>
      <c r="AD27" s="2">
        <v>5</v>
      </c>
      <c r="AE27" s="2">
        <v>31.6</v>
      </c>
      <c r="AF27" s="2">
        <v>35.4</v>
      </c>
      <c r="AG27" s="2">
        <v>35.1</v>
      </c>
      <c r="AH27" s="2">
        <v>34.799999999999997</v>
      </c>
      <c r="AI27" s="2">
        <f t="shared" ref="AI27:AI33" si="13">AVERAGE(AF27:AH27)</f>
        <v>35.1</v>
      </c>
      <c r="AK27" s="2">
        <v>20</v>
      </c>
      <c r="AL27" s="2">
        <v>30.9</v>
      </c>
      <c r="AM27" s="2">
        <v>38.1</v>
      </c>
      <c r="AN27" s="2">
        <v>36.9</v>
      </c>
      <c r="AO27" s="2">
        <v>36.9</v>
      </c>
      <c r="AP27" s="2">
        <v>37.700000000000003</v>
      </c>
      <c r="AQ27" s="2">
        <f>AVERAGE(AM27:AP27)</f>
        <v>37.400000000000006</v>
      </c>
    </row>
    <row r="28" spans="1:43" x14ac:dyDescent="0.3">
      <c r="A28" s="3">
        <v>35</v>
      </c>
      <c r="B28" s="1">
        <v>30.3</v>
      </c>
      <c r="C28" s="3">
        <v>38.700000000000003</v>
      </c>
      <c r="D28" s="3">
        <v>39.299999999999997</v>
      </c>
      <c r="E28" s="3">
        <v>36.799999999999997</v>
      </c>
      <c r="F28" s="2">
        <f t="shared" si="10"/>
        <v>38.266666666666666</v>
      </c>
      <c r="P28" s="2">
        <v>10</v>
      </c>
      <c r="Q28" s="2">
        <v>29.7</v>
      </c>
      <c r="R28" s="2">
        <v>39.4</v>
      </c>
      <c r="S28" s="2">
        <v>37.799999999999997</v>
      </c>
      <c r="T28" s="2">
        <v>36.799999999999997</v>
      </c>
      <c r="U28" s="2">
        <f t="shared" si="12"/>
        <v>37.999999999999993</v>
      </c>
      <c r="AD28" s="2">
        <v>10</v>
      </c>
      <c r="AE28" s="2">
        <v>31.4</v>
      </c>
      <c r="AF28" s="2">
        <v>38.6</v>
      </c>
      <c r="AG28" s="2">
        <v>38.1</v>
      </c>
      <c r="AH28" s="2">
        <v>38.1</v>
      </c>
      <c r="AI28" s="2">
        <f t="shared" si="13"/>
        <v>38.266666666666673</v>
      </c>
      <c r="AK28" s="2">
        <v>25</v>
      </c>
      <c r="AL28" s="2">
        <v>30.9</v>
      </c>
      <c r="AM28" s="2">
        <v>39</v>
      </c>
      <c r="AN28" s="2">
        <v>37.6</v>
      </c>
      <c r="AO28" s="2">
        <v>37.6</v>
      </c>
      <c r="AP28" s="2">
        <v>38.4</v>
      </c>
      <c r="AQ28" s="2">
        <f>AVERAGE(AM28:AP28)</f>
        <v>38.15</v>
      </c>
    </row>
    <row r="29" spans="1:43" x14ac:dyDescent="0.3">
      <c r="P29" s="2">
        <v>15</v>
      </c>
      <c r="Q29" s="2">
        <v>29.7</v>
      </c>
      <c r="R29" s="2">
        <v>41.9</v>
      </c>
      <c r="S29" s="2">
        <v>39.700000000000003</v>
      </c>
      <c r="T29" s="2">
        <v>38.9</v>
      </c>
      <c r="U29" s="2">
        <f t="shared" si="12"/>
        <v>40.166666666666664</v>
      </c>
      <c r="AD29" s="2">
        <v>15</v>
      </c>
      <c r="AE29" s="2">
        <v>31.4</v>
      </c>
      <c r="AF29" s="2">
        <v>40.200000000000003</v>
      </c>
      <c r="AG29" s="2">
        <v>39.6</v>
      </c>
      <c r="AH29" s="2">
        <v>40</v>
      </c>
      <c r="AI29" s="2">
        <f t="shared" si="13"/>
        <v>39.933333333333337</v>
      </c>
      <c r="AK29" s="2">
        <v>30</v>
      </c>
      <c r="AL29" s="2">
        <v>30.8</v>
      </c>
      <c r="AM29" s="2">
        <v>39.4</v>
      </c>
      <c r="AN29" s="2">
        <v>38</v>
      </c>
      <c r="AO29" s="2">
        <v>37.9</v>
      </c>
      <c r="AP29" s="2">
        <v>38.700000000000003</v>
      </c>
      <c r="AQ29" s="2">
        <f>AVERAGE(AM29:AP29)</f>
        <v>38.5</v>
      </c>
    </row>
    <row r="30" spans="1:43" x14ac:dyDescent="0.3">
      <c r="P30" s="2">
        <v>20</v>
      </c>
      <c r="Q30" s="2">
        <v>29.7</v>
      </c>
      <c r="R30" s="2">
        <v>43.1</v>
      </c>
      <c r="S30" s="2">
        <v>40.799999999999997</v>
      </c>
      <c r="T30" s="2">
        <v>39.9</v>
      </c>
      <c r="U30" s="2">
        <f t="shared" si="12"/>
        <v>41.266666666666673</v>
      </c>
      <c r="AD30" s="2">
        <v>20</v>
      </c>
      <c r="AE30" s="2">
        <v>31.5</v>
      </c>
      <c r="AF30" s="2">
        <v>40.9</v>
      </c>
      <c r="AG30" s="2">
        <v>40.5</v>
      </c>
      <c r="AH30" s="2">
        <v>41</v>
      </c>
      <c r="AI30" s="2">
        <f t="shared" si="13"/>
        <v>40.800000000000004</v>
      </c>
      <c r="AK30" s="2">
        <v>35</v>
      </c>
      <c r="AL30" s="2">
        <v>30.9</v>
      </c>
      <c r="AM30" s="2">
        <v>39.700000000000003</v>
      </c>
      <c r="AN30" s="2">
        <v>38.1</v>
      </c>
      <c r="AO30" s="2">
        <v>38.1</v>
      </c>
      <c r="AP30" s="2">
        <v>39</v>
      </c>
      <c r="AQ30" s="2">
        <f>AVERAGE(AM30:AP30)</f>
        <v>38.725000000000001</v>
      </c>
    </row>
    <row r="31" spans="1:43" x14ac:dyDescent="0.3">
      <c r="P31" s="2">
        <v>25</v>
      </c>
      <c r="Q31" s="2">
        <v>29.9</v>
      </c>
      <c r="R31" s="2">
        <v>43.8</v>
      </c>
      <c r="S31" s="2">
        <v>41.5</v>
      </c>
      <c r="T31" s="2">
        <v>40.6</v>
      </c>
      <c r="U31" s="2">
        <f t="shared" si="12"/>
        <v>41.966666666666669</v>
      </c>
      <c r="AD31" s="2">
        <v>25</v>
      </c>
      <c r="AE31" s="2">
        <v>31.6</v>
      </c>
      <c r="AF31" s="2">
        <v>41.9</v>
      </c>
      <c r="AG31" s="2">
        <v>41.2</v>
      </c>
      <c r="AH31" s="2">
        <v>41.8</v>
      </c>
      <c r="AI31" s="2">
        <f t="shared" si="13"/>
        <v>41.633333333333333</v>
      </c>
    </row>
    <row r="32" spans="1:43" x14ac:dyDescent="0.3">
      <c r="P32" s="2">
        <v>30</v>
      </c>
      <c r="Q32" s="2">
        <v>30</v>
      </c>
      <c r="R32" s="2">
        <v>44.3</v>
      </c>
      <c r="S32" s="2">
        <v>41.7</v>
      </c>
      <c r="T32" s="2">
        <v>40.799999999999997</v>
      </c>
      <c r="U32" s="2">
        <f t="shared" si="12"/>
        <v>42.266666666666666</v>
      </c>
      <c r="AD32" s="2">
        <v>30</v>
      </c>
      <c r="AE32" s="2">
        <v>31.5</v>
      </c>
      <c r="AF32" s="2">
        <v>41.8</v>
      </c>
      <c r="AG32" s="2">
        <v>41.4</v>
      </c>
      <c r="AH32" s="2">
        <v>41.9</v>
      </c>
      <c r="AI32" s="2">
        <f t="shared" si="13"/>
        <v>41.699999999999996</v>
      </c>
    </row>
    <row r="33" spans="16:35" x14ac:dyDescent="0.3">
      <c r="P33" s="2">
        <v>35</v>
      </c>
      <c r="Q33" s="2">
        <v>29.9</v>
      </c>
      <c r="R33" s="2">
        <v>44.4</v>
      </c>
      <c r="S33" s="2">
        <v>41.9</v>
      </c>
      <c r="T33" s="2">
        <v>41</v>
      </c>
      <c r="U33" s="2">
        <f t="shared" si="12"/>
        <v>42.43333333333333</v>
      </c>
      <c r="AD33" s="2">
        <v>35</v>
      </c>
      <c r="AE33" s="2">
        <v>31.6</v>
      </c>
      <c r="AF33" s="2">
        <v>42</v>
      </c>
      <c r="AG33" s="2">
        <v>41.6</v>
      </c>
      <c r="AH33" s="2">
        <v>42.1</v>
      </c>
      <c r="AI33" s="2">
        <f t="shared" si="13"/>
        <v>41.9</v>
      </c>
    </row>
  </sheetData>
  <mergeCells count="16">
    <mergeCell ref="AD1:AI1"/>
    <mergeCell ref="AD13:AI13"/>
    <mergeCell ref="AD24:AI24"/>
    <mergeCell ref="AK1:AQ1"/>
    <mergeCell ref="AK11:AQ11"/>
    <mergeCell ref="AK21:AQ21"/>
    <mergeCell ref="P1:U1"/>
    <mergeCell ref="P14:U14"/>
    <mergeCell ref="P25:U25"/>
    <mergeCell ref="A11:F11"/>
    <mergeCell ref="X1:AB1"/>
    <mergeCell ref="A1:F1"/>
    <mergeCell ref="A20:F20"/>
    <mergeCell ref="I1:N1"/>
    <mergeCell ref="I10:N10"/>
    <mergeCell ref="I18:N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Gautam</dc:creator>
  <cp:lastModifiedBy>Pranjal Gautam</cp:lastModifiedBy>
  <dcterms:created xsi:type="dcterms:W3CDTF">2026-04-18T15:29:50Z</dcterms:created>
  <dcterms:modified xsi:type="dcterms:W3CDTF">2026-04-24T08:34:34Z</dcterms:modified>
</cp:coreProperties>
</file>